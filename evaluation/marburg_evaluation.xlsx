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6db1a7238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92cda478d1f43f4"/>
    <x:sheet xmlns:r="http://schemas.openxmlformats.org/officeDocument/2006/relationships" name="Subjects" sheetId="2" r:id="Rde3939f07f8843c5"/>
    <x:sheet xmlns:r="http://schemas.openxmlformats.org/officeDocument/2006/relationships" name="Image Ratings" sheetId="3" r:id="Rb03bd49f95404db4"/>
    <x:sheet xmlns:r="http://schemas.openxmlformats.org/officeDocument/2006/relationships" name="Text Ratings" sheetId="4" r:id="Rf29981ba0a53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365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1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</x:fills>
  <x:borders count="18">
    <x:border/>
    <x:border>
      <x:bottom style="medium">
        <x:color rgb="FF17365D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left style="thin">
        <x:color rgb="FFC9D2DC"/>
      </x:left>
      <x:right style="thin">
        <x:color rgb="FFFFFFFF"/>
      </x:right>
      <x:top style="thin">
        <x:color rgb="FFC9D2DC"/>
      </x:top>
    </x:border>
    <x:border>
      <x:left style="thin">
        <x:color rgb="FFFFFFFF"/>
      </x:left>
      <x:top style="thin">
        <x:color rgb="FFC9D2DC"/>
      </x:top>
    </x:border>
    <x:border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right style="thin">
        <x:color rgb="FFFFFFFF"/>
      </x:right>
    </x:border>
    <x:border>
      <x:left style="thin">
        <x:color rgb="FFFFFFFF"/>
      </x:left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FFFFFF"/>
      </x:left>
      <x:right style="thin">
        <x:color rgb="FFFFFFFF"/>
      </x:right>
      <x:top style="thin">
        <x:color rgb="FFC9D2DC"/>
      </x:top>
    </x:border>
    <x:border>
      <x:left style="thin">
        <x:color rgb="FFFFFFFF"/>
      </x:left>
      <x:right style="thin">
        <x:color rgb="FFC9D2DC"/>
      </x:right>
      <x:top style="thin">
        <x:color rgb="FFC9D2DC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top" wrapText="1"/>
    </x:xf>
    <x:xf numFmtId="0" fontId="3" fillId="2" borderId="6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  <x:xf numFmtId="0" fontId="3" fillId="2" borderId="11" xfId="0" applyNumberFormat="1" applyFont="1" applyFill="1" applyBorder="1" applyAlignment="1">
      <x:alignment horizontal="center" vertical="top" wrapText="1"/>
    </x:xf>
    <x:xf numFmtId="0" fontId="3" fillId="2" borderId="12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/>
    </x:xf>
    <x:xf numFmtId="0" fontId="4" fillId="0" borderId="14" xfId="0" applyNumberFormat="1" applyFont="1" applyFill="1" applyBorder="1" applyAlignment="1">
      <x:alignment vertical="top"/>
    </x:xf>
    <x:xf numFmtId="0" fontId="4" fillId="0" borderId="15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/>
    </x:xf>
    <x:xf numFmtId="0" fontId="5" fillId="0" borderId="14" xfId="0" applyNumberFormat="1" applyFont="1" applyFill="1" applyBorder="1" applyAlignment="1">
      <x:alignment vertical="top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5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6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6" borderId="10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0" fontId="4" fillId="5" borderId="14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0" fontId="4" fillId="4" borderId="14" xfId="0" applyNumberFormat="1" applyFont="1" applyFill="1" applyBorder="1" applyAlignment="1">
      <x:alignment vertical="center"/>
    </x:xf>
    <x:xf numFmtId="0" fontId="4" fillId="6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98ad02f4e4937" /><Relationship Type="http://schemas.openxmlformats.org/officeDocument/2006/relationships/theme" Target="/xl/theme/theme1.xml" Id="R8eb2d82c53bb49e8" /><Relationship Type="http://schemas.openxmlformats.org/officeDocument/2006/relationships/sharedStrings" Target="/xl/sharedStrings.xml" Id="R169dbd51e2524e06" /><Relationship Type="http://schemas.openxmlformats.org/officeDocument/2006/relationships/worksheet" Target="/xl/worksheets/sheet1.xml" Id="Rb92cda478d1f43f4" /><Relationship Type="http://schemas.openxmlformats.org/officeDocument/2006/relationships/worksheet" Target="/xl/worksheets/sheet2.xml" Id="Rde3939f07f8843c5" /><Relationship Type="http://schemas.openxmlformats.org/officeDocument/2006/relationships/worksheet" Target="/xl/worksheets/sheet3.xml" Id="Rb03bd49f95404db4" /><Relationship Type="http://schemas.openxmlformats.org/officeDocument/2006/relationships/worksheet" Target="/xl/worksheets/sheet4.xml" Id="Rf29981ba0a5341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0" hidden="0" customWidth="1"/>
    <x:col min="3" max="3" width="28" hidden="0" customWidth="1"/>
    <x:col min="4" max="4" width="28" hidden="0" customWidth="1"/>
  </x:cols>
  <x:sheetData>
    <x:row r="1" ht="19.200000762939453" hidden="0" customHeight="1">
      <x:c r="A1" s="2" t="str">
        <x:v>Marburg historical-figure evaluation</x:v>
      </x:c>
      <x:c r="B1" s="12"/>
      <x:c r="C1" s="12"/>
      <x:c r="D1" s="12"/>
      <x:c r="E1" s="12"/>
      <x:c r="F1" s="12"/>
    </x:row>
    <x:row r="2" ht="15" hidden="0" customHeight="1">
      <x:c r="A2" s="3" t="str">
        <x:v>Blind paired evaluation of FLUX.2 Klein and the SD1.5 + ControlNet baseline</x:v>
      </x:c>
      <x:c r="B2" s="3"/>
      <x:c r="C2" s="3"/>
      <x:c r="D2" s="3"/>
      <x:c r="E2" s="3"/>
      <x:c r="F2" s="3"/>
    </x:row>
    <x:row r="3" ht="15" hidden="0" customHeight="1">
      <x:c r="A3" s="13"/>
      <x:c r="B3" s="13"/>
      <x:c r="C3" s="13"/>
      <x:c r="D3" s="13"/>
      <x:c r="E3" s="13"/>
      <x:c r="F3" s="13"/>
    </x:row>
    <x:row r="4" ht="15" hidden="0" customHeight="1">
      <x:c r="A4" s="19" t="str">
        <x:v>Step</x:v>
      </x:c>
      <x:c r="B4" s="20" t="str">
        <x:v>Protocol</x:v>
      </x:c>
      <x:c r="C4" s="21"/>
      <x:c r="D4" s="22"/>
      <x:c r="E4" s="13"/>
      <x:c r="F4" s="13"/>
    </x:row>
    <x:row r="5" ht="15" hidden="0" customHeight="1">
      <x:c r="A5" s="23" t="n">
        <x:v>1</x:v>
      </x:c>
      <x:c r="B5" s="18" t="str">
        <x:v>Generate all eight final images with the frozen T4 configuration and seed 42.</x:v>
      </x:c>
      <x:c r="C5" s="16"/>
      <x:c r="D5" s="24"/>
      <x:c r="E5" s="13"/>
      <x:c r="F5" s="13"/>
    </x:row>
    <x:row r="6" ht="15" hidden="0" customHeight="1">
      <x:c r="A6" s="23" t="n">
        <x:v>2</x:v>
      </x:c>
      <x:c r="B6" s="18" t="str">
        <x:v>Generate one SD1.5 + ControlNet baseline from each identical source portrait.</x:v>
      </x:c>
      <x:c r="C6" s="16"/>
      <x:c r="D6" s="24"/>
      <x:c r="E6" s="13"/>
      <x:c r="F6" s="13"/>
    </x:row>
    <x:row r="7" ht="26.399999618530273" hidden="0" customHeight="1">
      <x:c r="A7" s="23" t="n">
        <x:v>3</x:v>
      </x:c>
      <x:c r="B7" s="18" t="str">
        <x:v>Use prepare_blind_evaluation.py with seed 20260904. Keep condition_key.csv private.</x:v>
      </x:c>
      <x:c r="C7" s="16"/>
      <x:c r="D7" s="24"/>
      <x:c r="E7" s="13"/>
      <x:c r="F7" s="13"/>
    </x:row>
    <x:row r="8" ht="26.399999618530273" hidden="0" customHeight="1">
      <x:c r="A8" s="23" t="n">
        <x:v>4</x:v>
      </x:c>
      <x:c r="B8" s="18" t="str">
        <x:v>Each evaluator scores every A/B pair independently. Source portraits may be viewed for identity scoring.</x:v>
      </x:c>
      <x:c r="C8" s="16"/>
      <x:c r="D8" s="24"/>
      <x:c r="E8" s="13"/>
      <x:c r="F8" s="13"/>
    </x:row>
    <x:row r="9" ht="26.399999618530273" hidden="0" customHeight="1">
      <x:c r="A9" s="23" t="n">
        <x:v>5</x:v>
      </x:c>
      <x:c r="B9" s="18" t="str">
        <x:v>After collection, run analyze_evaluation.py and preserve the raw forms and manifests.</x:v>
      </x:c>
      <x:c r="C9" s="16"/>
      <x:c r="D9" s="24"/>
      <x:c r="E9" s="13"/>
      <x:c r="F9" s="13"/>
    </x:row>
    <x:row r="10" ht="15" hidden="0" customHeight="1">
      <x:c r="A10" s="23"/>
      <x:c r="B10" s="16"/>
      <x:c r="C10" s="16"/>
      <x:c r="D10" s="24"/>
      <x:c r="E10" s="13"/>
      <x:c r="F10" s="13"/>
    </x:row>
    <x:row r="11" ht="15" hidden="0" customHeight="1">
      <x:c r="A11" s="25" t="str">
        <x:v>Criterion</x:v>
      </x:c>
      <x:c r="B11" s="17" t="str">
        <x:v>1</x:v>
      </x:c>
      <x:c r="C11" s="17" t="str">
        <x:v>3</x:v>
      </x:c>
      <x:c r="D11" s="26" t="str">
        <x:v>5</x:v>
      </x:c>
      <x:c r="E11" s="13"/>
      <x:c r="F11" s="13"/>
    </x:row>
    <x:row r="12" ht="15" hidden="0" customHeight="1">
      <x:c r="A12" s="27" t="str">
        <x:v>Identity</x:v>
      </x:c>
      <x:c r="B12" s="18" t="str">
        <x:v>Does not resemble the person</x:v>
      </x:c>
      <x:c r="C12" s="18" t="str">
        <x:v>Some recognizable traits</x:v>
      </x:c>
      <x:c r="D12" s="28" t="str">
        <x:v>Clearly preserves identity</x:v>
      </x:c>
      <x:c r="E12" s="13"/>
      <x:c r="F12" s="13"/>
    </x:row>
    <x:row r="13" ht="15" hidden="0" customHeight="1">
      <x:c r="A13" s="27" t="str">
        <x:v>Line cleanliness</x:v>
      </x:c>
      <x:c r="B13" s="18" t="str">
        <x:v>Noisy, shaded, or broken</x:v>
      </x:c>
      <x:c r="C13" s="18" t="str">
        <x:v>Usable with visible artifacts</x:v>
      </x:c>
      <x:c r="D13" s="28" t="str">
        <x:v>Clean and consistent outlines</x:v>
      </x:c>
      <x:c r="E13" s="13"/>
      <x:c r="F13" s="13"/>
    </x:row>
    <x:row r="14" ht="26.399999618530273" hidden="0" customHeight="1">
      <x:c r="A14" s="27" t="str">
        <x:v>Coloring suitability</x:v>
      </x:c>
      <x:c r="B14" s="18" t="str">
        <x:v>Few usable white regions</x:v>
      </x:c>
      <x:c r="C14" s="18" t="str">
        <x:v>Partly suitable for coloring</x:v>
      </x:c>
      <x:c r="D14" s="28" t="str">
        <x:v>Open regions and clear boundaries</x:v>
      </x:c>
      <x:c r="E14" s="13"/>
      <x:c r="F14" s="13"/>
    </x:row>
    <x:row r="15" ht="15" hidden="0" customHeight="1">
      <x:c r="A15" s="27" t="str">
        <x:v>Overall quality</x:v>
      </x:c>
      <x:c r="B15" s="18" t="str">
        <x:v>Not usable as a coloring page</x:v>
      </x:c>
      <x:c r="C15" s="18" t="str">
        <x:v>Usable with reservations</x:v>
      </x:c>
      <x:c r="D15" s="28" t="str">
        <x:v>Strong final-page illustration</x:v>
      </x:c>
      <x:c r="E15" s="13"/>
      <x:c r="F15" s="13"/>
    </x:row>
    <x:row r="16" ht="26.399999618530273" hidden="0" customHeight="1">
      <x:c r="A16" s="27" t="str">
        <x:v>Preference</x:v>
      </x:c>
      <x:c r="B16" s="18" t="str">
        <x:v>Choose A or B overall</x:v>
      </x:c>
      <x:c r="C16" s="18" t="str">
        <x:v>Use Tie only when genuinely equal</x:v>
      </x:c>
      <x:c r="D16" s="28" t="str">
        <x:v>Do not infer the generating method</x:v>
      </x:c>
      <x:c r="E16" s="13"/>
      <x:c r="F16" s="13"/>
    </x:row>
    <x:row r="17" ht="15" hidden="0" customHeight="1">
      <x:c r="A17" s="23"/>
      <x:c r="B17" s="16"/>
      <x:c r="C17" s="16"/>
      <x:c r="D17" s="24"/>
      <x:c r="E17" s="13"/>
      <x:c r="F17" s="13"/>
    </x:row>
    <x:row r="18" ht="15" hidden="0" customHeight="1">
      <x:c r="A18" s="25" t="str">
        <x:v>Fixed setting</x:v>
      </x:c>
      <x:c r="B18" s="15" t="str">
        <x:v>Value</x:v>
      </x:c>
      <x:c r="C18" s="16"/>
      <x:c r="D18" s="24"/>
      <x:c r="E18" s="13"/>
      <x:c r="F18" s="13"/>
    </x:row>
    <x:row r="19" ht="15" hidden="0" customHeight="1">
      <x:c r="A19" s="23" t="str">
        <x:v>Final method</x:v>
      </x:c>
      <x:c r="B19" s="16" t="str">
        <x:v>Qwen3.5-4B + FLUX.2 Klein 4B, T4 safe mode</x:v>
      </x:c>
      <x:c r="C19" s="16"/>
      <x:c r="D19" s="24"/>
      <x:c r="E19" s="13"/>
      <x:c r="F19" s="13"/>
    </x:row>
    <x:row r="20" ht="15" hidden="0" customHeight="1">
      <x:c r="A20" s="23" t="str">
        <x:v>Final seed</x:v>
      </x:c>
      <x:c r="B20" s="16" t="n">
        <x:v>42</x:v>
      </x:c>
      <x:c r="C20" s="16"/>
      <x:c r="D20" s="24"/>
      <x:c r="E20" s="13"/>
      <x:c r="F20" s="13"/>
    </x:row>
    <x:row r="21" ht="15" hidden="0" customHeight="1">
      <x:c r="A21" s="29" t="str">
        <x:v>Blind randomization seed</x:v>
      </x:c>
      <x:c r="B21" s="30" t="n">
        <x:v>20260904</x:v>
      </x:c>
      <x:c r="C21" s="30"/>
      <x:c r="D21" s="31"/>
      <x:c r="E21" s="13"/>
      <x:c r="F2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18" hidden="0" customWidth="1"/>
    <x:col min="4" max="4" width="60" hidden="0" customWidth="1"/>
    <x:col min="5" max="5" width="60" hidden="0" customWidth="1"/>
  </x:cols>
  <x:sheetData>
    <x:row r="1" ht="19.200000762939453" hidden="0" customHeight="1">
      <x:c r="A1" s="2" t="str">
        <x:v>Evaluation subjects</x:v>
      </x:c>
      <x:c r="B1" s="1"/>
      <x:c r="C1" s="1"/>
      <x:c r="D1" s="1"/>
      <x:c r="E1" s="1"/>
    </x:row>
    <x:row r="2" ht="15" hidden="0" customHeight="1">
      <x:c r="A2" s="3" t="str">
        <x:v>All relationships are documented by Philipps-Universität Marburg</x:v>
      </x:c>
      <x:c r="B2" s="3"/>
      <x:c r="C2" s="3"/>
      <x:c r="D2" s="3"/>
      <x:c r="E2" s="3"/>
    </x:row>
    <x:row r="3"/>
    <x:row r="4" ht="15" hidden="0" customHeight="1">
      <x:c r="A4" s="35" t="str">
        <x:v>Subject ID</x:v>
      </x:c>
      <x:c r="B4" s="36" t="str">
        <x:v>Name</x:v>
      </x:c>
      <x:c r="C4" s="36" t="str">
        <x:v>Relationship</x:v>
      </x:c>
      <x:c r="D4" s="36" t="str">
        <x:v>Marburg connection</x:v>
      </x:c>
      <x:c r="E4" s="37" t="str">
        <x:v>Source URL</x:v>
      </x:c>
    </x:row>
    <x:row r="5" ht="15" hidden="0" customHeight="1">
      <x:c r="A5" s="38" t="str">
        <x:v>M01</x:v>
      </x:c>
      <x:c r="B5" s="33" t="str">
        <x:v>Philip I, Landgrave of Hesse</x:v>
      </x:c>
      <x:c r="C5" s="33" t="str">
        <x:v>Founder</x:v>
      </x:c>
      <x:c r="D5" s="34" t="str">
        <x:v>Founded Marburg University in 1527.</x:v>
      </x:c>
      <x:c r="E5" s="39" t="str">
        <x:v>https://www.uni-marburg.de/en/university/profile/history</x:v>
      </x:c>
    </x:row>
    <x:row r="6" ht="15" hidden="0" customHeight="1">
      <x:c r="A6" s="38" t="str">
        <x:v>M02</x:v>
      </x:c>
      <x:c r="B6" s="33" t="str">
        <x:v>Robert Bunsen</x:v>
      </x:c>
      <x:c r="C6" s="33" t="str">
        <x:v>Professor</x:v>
      </x:c>
      <x:c r="D6" s="34" t="str">
        <x:v>Conducted research and taught chemistry at Marburg.</x:v>
      </x:c>
      <x:c r="E6" s="39" t="str">
        <x:v>https://www.uni-marburg.de/en/university/profile/history</x:v>
      </x:c>
    </x:row>
    <x:row r="7" ht="24" hidden="0" customHeight="1">
      <x:c r="A7" s="38" t="str">
        <x:v>M03</x:v>
      </x:c>
      <x:c r="B7" s="33" t="str">
        <x:v>Emil von Behring</x:v>
      </x:c>
      <x:c r="C7" s="33" t="str">
        <x:v>Professor</x:v>
      </x:c>
      <x:c r="D7" s="34" t="str">
        <x:v>Professor of Hygiene from 1895 until his death; received the first Nobel Prize in Medicine while at Marburg.</x:v>
      </x:c>
      <x:c r="E7" s="39" t="str">
        <x:v>https://www.uni-marburg.de/en/university/profile/facts-figures-prizes/prizes</x:v>
      </x:c>
    </x:row>
    <x:row r="8" ht="15" hidden="0" customHeight="1">
      <x:c r="A8" s="38" t="str">
        <x:v>M04</x:v>
      </x:c>
      <x:c r="B8" s="33" t="str">
        <x:v>Jacob Grimm</x:v>
      </x:c>
      <x:c r="C8" s="33" t="str">
        <x:v>Student</x:v>
      </x:c>
      <x:c r="D8" s="34" t="str">
        <x:v>Studied at Marburg and was mentored by Friedrich Carl von Savigny.</x:v>
      </x:c>
      <x:c r="E8" s="39" t="str">
        <x:v>https://www.uni-marburg.de/en/university/profile/history</x:v>
      </x:c>
    </x:row>
    <x:row r="9" ht="15" hidden="0" customHeight="1">
      <x:c r="A9" s="38" t="str">
        <x:v>M05</x:v>
      </x:c>
      <x:c r="B9" s="33" t="str">
        <x:v>Hannah Arendt</x:v>
      </x:c>
      <x:c r="C9" s="33" t="str">
        <x:v>Student</x:v>
      </x:c>
      <x:c r="D9" s="34" t="str">
        <x:v>Enrolled to study philosophy in 1924 and remained for three semesters.</x:v>
      </x:c>
      <x:c r="E9" s="39" t="str">
        <x:v>https://www.uni-marburg.de/de/uniarchiv/hannah-arendt</x:v>
      </x:c>
    </x:row>
    <x:row r="10" ht="24" hidden="0" customHeight="1">
      <x:c r="A10" s="38" t="str">
        <x:v>M06</x:v>
      </x:c>
      <x:c r="B10" s="33" t="str">
        <x:v>Gertrud von Le Fort</x:v>
      </x:c>
      <x:c r="C10" s="33" t="str">
        <x:v>Student</x:v>
      </x:c>
      <x:c r="D10" s="34" t="str">
        <x:v>Was among the early women admitted to study at Marburg after women could matriculate in 1908.</x:v>
      </x:c>
      <x:c r="E10" s="39" t="str">
        <x:v>https://www.uni-marburg.de/en/studying/incomings/exchange-programs/iusp/further-information/testimonials</x:v>
      </x:c>
    </x:row>
    <x:row r="11" ht="24" hidden="0" customHeight="1">
      <x:c r="A11" s="38" t="str">
        <x:v>M07</x:v>
      </x:c>
      <x:c r="B11" s="33" t="str">
        <x:v>Alfred Wegener</x:v>
      </x:c>
      <x:c r="C11" s="33" t="str">
        <x:v>Researcher</x:v>
      </x:c>
      <x:c r="D11" s="34" t="str">
        <x:v>Developed the theory of continental drift while working at Marburg.</x:v>
      </x:c>
      <x:c r="E11" s="39" t="str">
        <x:v>https://www.uni-marburg.de/en/studying/incomings/exchange-programs/iusp/further-information/testimonials</x:v>
      </x:c>
    </x:row>
    <x:row r="12" ht="15" hidden="0" customHeight="1">
      <x:c r="A12" s="40" t="str">
        <x:v>M08</x:v>
      </x:c>
      <x:c r="B12" s="41" t="str">
        <x:v>Boris Pasternak</x:v>
      </x:c>
      <x:c r="C12" s="41" t="str">
        <x:v>Exchange student</x:v>
      </x:c>
      <x:c r="D12" s="42" t="str">
        <x:v>Spent an exchange semester at Marburg University in 1912.</x:v>
      </x:c>
      <x:c r="E12" s="43" t="str">
        <x:v>https://www.uni-marburg.de/en/university/profile/facts-figures-prizes/prizes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3" hidden="0" customWidth="1"/>
    <x:col min="14" max="14" width="28" hidden="0" customWidth="1"/>
    <x:col min="15" max="15" width="20" hidden="0" customWidth="1"/>
  </x:cols>
  <x:sheetData>
    <x:row r="1" ht="19.200000762939453" hidden="0" customHeight="1">
      <x:c r="A1" s="2" t="str">
        <x:v>Blind image ratings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15" hidden="0" customHeight="1">
      <x:c r="A2" s="3" t="str">
        <x:v>Yellow cells are evaluator inputs. Score each criterion from 1 to 5.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/>
    <x:row r="4" ht="15" hidden="0" customHeight="1">
      <x:c r="A4" s="35" t="str">
        <x:v>Rater ID</x:v>
      </x:c>
      <x:c r="B4" s="36" t="str">
        <x:v>Subject ID</x:v>
      </x:c>
      <x:c r="C4" s="36" t="str">
        <x:v>Image A</x:v>
      </x:c>
      <x:c r="D4" s="36" t="str">
        <x:v>Image B</x:v>
      </x:c>
      <x:c r="E4" s="36" t="str">
        <x:v>Identity A</x:v>
      </x:c>
      <x:c r="F4" s="36" t="str">
        <x:v>Identity B</x:v>
      </x:c>
      <x:c r="G4" s="36" t="str">
        <x:v>Line cleanliness A</x:v>
      </x:c>
      <x:c r="H4" s="36" t="str">
        <x:v>Line cleanliness B</x:v>
      </x:c>
      <x:c r="I4" s="36" t="str">
        <x:v>Coloring suitability A</x:v>
      </x:c>
      <x:c r="J4" s="36" t="str">
        <x:v>Coloring suitability B</x:v>
      </x:c>
      <x:c r="K4" s="36" t="str">
        <x:v>Overall quality A</x:v>
      </x:c>
      <x:c r="L4" s="36" t="str">
        <x:v>Overall quality B</x:v>
      </x:c>
      <x:c r="M4" s="36" t="str">
        <x:v>Preference</x:v>
      </x:c>
      <x:c r="N4" s="36" t="str">
        <x:v>Notes</x:v>
      </x:c>
      <x:c r="O4" s="37" t="str">
        <x:v>Status</x:v>
      </x:c>
    </x:row>
    <x:row r="5" ht="15" hidden="0" customHeight="1">
      <x:c r="A5" s="56" t="str">
        <x:v>R01</x:v>
      </x:c>
      <x:c r="B5" s="52" t="str">
        <x:v>M01</x:v>
      </x:c>
      <x:c r="C5" s="52" t="str">
        <x:v>images/M01_A.png</x:v>
      </x:c>
      <x:c r="D5" s="52" t="str">
        <x:v>images/M01_B.png</x:v>
      </x:c>
      <x:c r="E5" s="53"/>
      <x:c r="F5" s="53"/>
      <x:c r="G5" s="53"/>
      <x:c r="H5" s="53"/>
      <x:c r="I5" s="53"/>
      <x:c r="J5" s="53"/>
      <x:c r="K5" s="53"/>
      <x:c r="L5" s="53"/>
      <x:c r="M5" s="53"/>
      <x:c r="N5" s="54"/>
      <x:c r="O5" s="57" t="str">
        <x:f>IF(COUNTA(E5:L5)&lt;8,"Missing scores",IF(OR(M5="A",M5="B",M5="Tie"),"Complete","Missing preference"))</x:f>
        <x:v>Missing scores</x:v>
      </x:c>
    </x:row>
    <x:row r="6" ht="15" hidden="0" customHeight="1">
      <x:c r="A6" s="56" t="str">
        <x:v>R01</x:v>
      </x:c>
      <x:c r="B6" s="52" t="str">
        <x:v>M02</x:v>
      </x:c>
      <x:c r="C6" s="52" t="str">
        <x:v>images/M02_A.png</x:v>
      </x:c>
      <x:c r="D6" s="52" t="str">
        <x:v>images/M02_B.png</x:v>
      </x:c>
      <x:c r="E6" s="53"/>
      <x:c r="F6" s="53"/>
      <x:c r="G6" s="53"/>
      <x:c r="H6" s="53"/>
      <x:c r="I6" s="53"/>
      <x:c r="J6" s="53"/>
      <x:c r="K6" s="53"/>
      <x:c r="L6" s="53"/>
      <x:c r="M6" s="53"/>
      <x:c r="N6" s="54"/>
      <x:c r="O6" s="57" t="str">
        <x:f>IF(COUNTA(E6:L6)&lt;8,"Missing scores",IF(OR(M6="A",M6="B",M6="Tie"),"Complete","Missing preference"))</x:f>
        <x:v>Missing scores</x:v>
      </x:c>
    </x:row>
    <x:row r="7" ht="15" hidden="0" customHeight="1">
      <x:c r="A7" s="56" t="str">
        <x:v>R01</x:v>
      </x:c>
      <x:c r="B7" s="52" t="str">
        <x:v>M03</x:v>
      </x:c>
      <x:c r="C7" s="52" t="str">
        <x:v>images/M03_A.png</x:v>
      </x:c>
      <x:c r="D7" s="52" t="str">
        <x:v>images/M03_B.png</x:v>
      </x:c>
      <x:c r="E7" s="53"/>
      <x:c r="F7" s="53"/>
      <x:c r="G7" s="53"/>
      <x:c r="H7" s="53"/>
      <x:c r="I7" s="53"/>
      <x:c r="J7" s="53"/>
      <x:c r="K7" s="53"/>
      <x:c r="L7" s="53"/>
      <x:c r="M7" s="53"/>
      <x:c r="N7" s="54"/>
      <x:c r="O7" s="57" t="str">
        <x:f>IF(COUNTA(E7:L7)&lt;8,"Missing scores",IF(OR(M7="A",M7="B",M7="Tie"),"Complete","Missing preference"))</x:f>
        <x:v>Missing scores</x:v>
      </x:c>
    </x:row>
    <x:row r="8" ht="15" hidden="0" customHeight="1">
      <x:c r="A8" s="56" t="str">
        <x:v>R01</x:v>
      </x:c>
      <x:c r="B8" s="52" t="str">
        <x:v>M04</x:v>
      </x:c>
      <x:c r="C8" s="52" t="str">
        <x:v>images/M04_A.png</x:v>
      </x:c>
      <x:c r="D8" s="52" t="str">
        <x:v>images/M04_B.png</x:v>
      </x:c>
      <x:c r="E8" s="53"/>
      <x:c r="F8" s="53"/>
      <x:c r="G8" s="53"/>
      <x:c r="H8" s="53"/>
      <x:c r="I8" s="53"/>
      <x:c r="J8" s="53"/>
      <x:c r="K8" s="53"/>
      <x:c r="L8" s="53"/>
      <x:c r="M8" s="53"/>
      <x:c r="N8" s="54"/>
      <x:c r="O8" s="57" t="str">
        <x:f>IF(COUNTA(E8:L8)&lt;8,"Missing scores",IF(OR(M8="A",M8="B",M8="Tie"),"Complete","Missing preference"))</x:f>
        <x:v>Missing scores</x:v>
      </x:c>
    </x:row>
    <x:row r="9" ht="15" hidden="0" customHeight="1">
      <x:c r="A9" s="56" t="str">
        <x:v>R01</x:v>
      </x:c>
      <x:c r="B9" s="52" t="str">
        <x:v>M05</x:v>
      </x:c>
      <x:c r="C9" s="52" t="str">
        <x:v>images/M05_A.png</x:v>
      </x:c>
      <x:c r="D9" s="52" t="str">
        <x:v>images/M05_B.png</x:v>
      </x:c>
      <x:c r="E9" s="53"/>
      <x:c r="F9" s="53"/>
      <x:c r="G9" s="53"/>
      <x:c r="H9" s="53"/>
      <x:c r="I9" s="53"/>
      <x:c r="J9" s="53"/>
      <x:c r="K9" s="53"/>
      <x:c r="L9" s="53"/>
      <x:c r="M9" s="53"/>
      <x:c r="N9" s="54"/>
      <x:c r="O9" s="57" t="str">
        <x:f>IF(COUNTA(E9:L9)&lt;8,"Missing scores",IF(OR(M9="A",M9="B",M9="Tie"),"Complete","Missing preference"))</x:f>
        <x:v>Missing scores</x:v>
      </x:c>
    </x:row>
    <x:row r="10" ht="15" hidden="0" customHeight="1">
      <x:c r="A10" s="56" t="str">
        <x:v>R01</x:v>
      </x:c>
      <x:c r="B10" s="52" t="str">
        <x:v>M06</x:v>
      </x:c>
      <x:c r="C10" s="52" t="str">
        <x:v>images/M06_A.png</x:v>
      </x:c>
      <x:c r="D10" s="52" t="str">
        <x:v>images/M06_B.png</x:v>
      </x:c>
      <x:c r="E10" s="53"/>
      <x:c r="F10" s="53"/>
      <x:c r="G10" s="53"/>
      <x:c r="H10" s="53"/>
      <x:c r="I10" s="53"/>
      <x:c r="J10" s="53"/>
      <x:c r="K10" s="53"/>
      <x:c r="L10" s="53"/>
      <x:c r="M10" s="53"/>
      <x:c r="N10" s="54"/>
      <x:c r="O10" s="57" t="str">
        <x:f>IF(COUNTA(E10:L10)&lt;8,"Missing scores",IF(OR(M10="A",M10="B",M10="Tie"),"Complete","Missing preference"))</x:f>
        <x:v>Missing scores</x:v>
      </x:c>
    </x:row>
    <x:row r="11" ht="15" hidden="0" customHeight="1">
      <x:c r="A11" s="56" t="str">
        <x:v>R01</x:v>
      </x:c>
      <x:c r="B11" s="52" t="str">
        <x:v>M07</x:v>
      </x:c>
      <x:c r="C11" s="52" t="str">
        <x:v>images/M07_A.png</x:v>
      </x:c>
      <x:c r="D11" s="52" t="str">
        <x:v>images/M07_B.png</x:v>
      </x:c>
      <x:c r="E11" s="53"/>
      <x:c r="F11" s="53"/>
      <x:c r="G11" s="53"/>
      <x:c r="H11" s="53"/>
      <x:c r="I11" s="53"/>
      <x:c r="J11" s="53"/>
      <x:c r="K11" s="53"/>
      <x:c r="L11" s="53"/>
      <x:c r="M11" s="53"/>
      <x:c r="N11" s="54"/>
      <x:c r="O11" s="57" t="str">
        <x:f>IF(COUNTA(E11:L11)&lt;8,"Missing scores",IF(OR(M11="A",M11="B",M11="Tie"),"Complete","Missing preference"))</x:f>
        <x:v>Missing scores</x:v>
      </x:c>
    </x:row>
    <x:row r="12" ht="15" hidden="0" customHeight="1">
      <x:c r="A12" s="56" t="str">
        <x:v>R01</x:v>
      </x:c>
      <x:c r="B12" s="52" t="str">
        <x:v>M08</x:v>
      </x:c>
      <x:c r="C12" s="52" t="str">
        <x:v>images/M08_A.png</x:v>
      </x:c>
      <x:c r="D12" s="52" t="str">
        <x:v>images/M08_B.png</x:v>
      </x:c>
      <x:c r="E12" s="53"/>
      <x:c r="F12" s="53"/>
      <x:c r="G12" s="53"/>
      <x:c r="H12" s="53"/>
      <x:c r="I12" s="53"/>
      <x:c r="J12" s="53"/>
      <x:c r="K12" s="53"/>
      <x:c r="L12" s="53"/>
      <x:c r="M12" s="53"/>
      <x:c r="N12" s="54"/>
      <x:c r="O12" s="57" t="str">
        <x:f>IF(COUNTA(E12:L12)&lt;8,"Missing scores",IF(OR(M12="A",M12="B",M12="Tie"),"Complete","Missing preference"))</x:f>
        <x:v>Missing scores</x:v>
      </x:c>
    </x:row>
    <x:row r="13" ht="15" hidden="0" customHeight="1">
      <x:c r="A13" s="56" t="str">
        <x:v>R02</x:v>
      </x:c>
      <x:c r="B13" s="52" t="str">
        <x:v>M01</x:v>
      </x:c>
      <x:c r="C13" s="52" t="str">
        <x:v>images/M01_A.png</x:v>
      </x:c>
      <x:c r="D13" s="52" t="str">
        <x:v>images/M01_B.png</x:v>
      </x:c>
      <x:c r="E13" s="53"/>
      <x:c r="F13" s="53"/>
      <x:c r="G13" s="53"/>
      <x:c r="H13" s="53"/>
      <x:c r="I13" s="53"/>
      <x:c r="J13" s="53"/>
      <x:c r="K13" s="53"/>
      <x:c r="L13" s="53"/>
      <x:c r="M13" s="53"/>
      <x:c r="N13" s="54"/>
      <x:c r="O13" s="57" t="str">
        <x:f>IF(COUNTA(E13:L13)&lt;8,"Missing scores",IF(OR(M13="A",M13="B",M13="Tie"),"Complete","Missing preference"))</x:f>
        <x:v>Missing scores</x:v>
      </x:c>
    </x:row>
    <x:row r="14" ht="15" hidden="0" customHeight="1">
      <x:c r="A14" s="56" t="str">
        <x:v>R02</x:v>
      </x:c>
      <x:c r="B14" s="52" t="str">
        <x:v>M02</x:v>
      </x:c>
      <x:c r="C14" s="52" t="str">
        <x:v>images/M02_A.png</x:v>
      </x:c>
      <x:c r="D14" s="52" t="str">
        <x:v>images/M02_B.png</x:v>
      </x:c>
      <x:c r="E14" s="53"/>
      <x:c r="F14" s="53"/>
      <x:c r="G14" s="53"/>
      <x:c r="H14" s="53"/>
      <x:c r="I14" s="53"/>
      <x:c r="J14" s="53"/>
      <x:c r="K14" s="53"/>
      <x:c r="L14" s="53"/>
      <x:c r="M14" s="53"/>
      <x:c r="N14" s="54"/>
      <x:c r="O14" s="57" t="str">
        <x:f>IF(COUNTA(E14:L14)&lt;8,"Missing scores",IF(OR(M14="A",M14="B",M14="Tie"),"Complete","Missing preference"))</x:f>
        <x:v>Missing scores</x:v>
      </x:c>
    </x:row>
    <x:row r="15" ht="15" hidden="0" customHeight="1">
      <x:c r="A15" s="56" t="str">
        <x:v>R02</x:v>
      </x:c>
      <x:c r="B15" s="52" t="str">
        <x:v>M03</x:v>
      </x:c>
      <x:c r="C15" s="52" t="str">
        <x:v>images/M03_A.png</x:v>
      </x:c>
      <x:c r="D15" s="52" t="str">
        <x:v>images/M03_B.png</x:v>
      </x:c>
      <x:c r="E15" s="53"/>
      <x:c r="F15" s="53"/>
      <x:c r="G15" s="53"/>
      <x:c r="H15" s="53"/>
      <x:c r="I15" s="53"/>
      <x:c r="J15" s="53"/>
      <x:c r="K15" s="53"/>
      <x:c r="L15" s="53"/>
      <x:c r="M15" s="53"/>
      <x:c r="N15" s="54"/>
      <x:c r="O15" s="57" t="str">
        <x:f>IF(COUNTA(E15:L15)&lt;8,"Missing scores",IF(OR(M15="A",M15="B",M15="Tie"),"Complete","Missing preference"))</x:f>
        <x:v>Missing scores</x:v>
      </x:c>
    </x:row>
    <x:row r="16" ht="15" hidden="0" customHeight="1">
      <x:c r="A16" s="56" t="str">
        <x:v>R02</x:v>
      </x:c>
      <x:c r="B16" s="52" t="str">
        <x:v>M04</x:v>
      </x:c>
      <x:c r="C16" s="52" t="str">
        <x:v>images/M04_A.png</x:v>
      </x:c>
      <x:c r="D16" s="52" t="str">
        <x:v>images/M04_B.png</x:v>
      </x:c>
      <x:c r="E16" s="53"/>
      <x:c r="F16" s="53"/>
      <x:c r="G16" s="53"/>
      <x:c r="H16" s="53"/>
      <x:c r="I16" s="53"/>
      <x:c r="J16" s="53"/>
      <x:c r="K16" s="53"/>
      <x:c r="L16" s="53"/>
      <x:c r="M16" s="53"/>
      <x:c r="N16" s="54"/>
      <x:c r="O16" s="57" t="str">
        <x:f>IF(COUNTA(E16:L16)&lt;8,"Missing scores",IF(OR(M16="A",M16="B",M16="Tie"),"Complete","Missing preference"))</x:f>
        <x:v>Missing scores</x:v>
      </x:c>
    </x:row>
    <x:row r="17" ht="15" hidden="0" customHeight="1">
      <x:c r="A17" s="56" t="str">
        <x:v>R02</x:v>
      </x:c>
      <x:c r="B17" s="52" t="str">
        <x:v>M05</x:v>
      </x:c>
      <x:c r="C17" s="52" t="str">
        <x:v>images/M05_A.png</x:v>
      </x:c>
      <x:c r="D17" s="52" t="str">
        <x:v>images/M05_B.png</x:v>
      </x:c>
      <x:c r="E17" s="53"/>
      <x:c r="F17" s="53"/>
      <x:c r="G17" s="53"/>
      <x:c r="H17" s="53"/>
      <x:c r="I17" s="53"/>
      <x:c r="J17" s="53"/>
      <x:c r="K17" s="53"/>
      <x:c r="L17" s="53"/>
      <x:c r="M17" s="53"/>
      <x:c r="N17" s="54"/>
      <x:c r="O17" s="57" t="str">
        <x:f>IF(COUNTA(E17:L17)&lt;8,"Missing scores",IF(OR(M17="A",M17="B",M17="Tie"),"Complete","Missing preference"))</x:f>
        <x:v>Missing scores</x:v>
      </x:c>
    </x:row>
    <x:row r="18" ht="15" hidden="0" customHeight="1">
      <x:c r="A18" s="56" t="str">
        <x:v>R02</x:v>
      </x:c>
      <x:c r="B18" s="52" t="str">
        <x:v>M06</x:v>
      </x:c>
      <x:c r="C18" s="52" t="str">
        <x:v>images/M06_A.png</x:v>
      </x:c>
      <x:c r="D18" s="52" t="str">
        <x:v>images/M06_B.png</x:v>
      </x:c>
      <x:c r="E18" s="53"/>
      <x:c r="F18" s="53"/>
      <x:c r="G18" s="53"/>
      <x:c r="H18" s="53"/>
      <x:c r="I18" s="53"/>
      <x:c r="J18" s="53"/>
      <x:c r="K18" s="53"/>
      <x:c r="L18" s="53"/>
      <x:c r="M18" s="53"/>
      <x:c r="N18" s="54"/>
      <x:c r="O18" s="57" t="str">
        <x:f>IF(COUNTA(E18:L18)&lt;8,"Missing scores",IF(OR(M18="A",M18="B",M18="Tie"),"Complete","Missing preference"))</x:f>
        <x:v>Missing scores</x:v>
      </x:c>
    </x:row>
    <x:row r="19" ht="15" hidden="0" customHeight="1">
      <x:c r="A19" s="56" t="str">
        <x:v>R02</x:v>
      </x:c>
      <x:c r="B19" s="52" t="str">
        <x:v>M07</x:v>
      </x:c>
      <x:c r="C19" s="52" t="str">
        <x:v>images/M07_A.png</x:v>
      </x:c>
      <x:c r="D19" s="52" t="str">
        <x:v>images/M07_B.png</x:v>
      </x:c>
      <x:c r="E19" s="53"/>
      <x:c r="F19" s="53"/>
      <x:c r="G19" s="53"/>
      <x:c r="H19" s="53"/>
      <x:c r="I19" s="53"/>
      <x:c r="J19" s="53"/>
      <x:c r="K19" s="53"/>
      <x:c r="L19" s="53"/>
      <x:c r="M19" s="53"/>
      <x:c r="N19" s="54"/>
      <x:c r="O19" s="57" t="str">
        <x:f>IF(COUNTA(E19:L19)&lt;8,"Missing scores",IF(OR(M19="A",M19="B",M19="Tie"),"Complete","Missing preference"))</x:f>
        <x:v>Missing scores</x:v>
      </x:c>
    </x:row>
    <x:row r="20" ht="15" hidden="0" customHeight="1">
      <x:c r="A20" s="56" t="str">
        <x:v>R02</x:v>
      </x:c>
      <x:c r="B20" s="52" t="str">
        <x:v>M08</x:v>
      </x:c>
      <x:c r="C20" s="52" t="str">
        <x:v>images/M08_A.png</x:v>
      </x:c>
      <x:c r="D20" s="52" t="str">
        <x:v>images/M08_B.png</x:v>
      </x:c>
      <x:c r="E20" s="53"/>
      <x:c r="F20" s="53"/>
      <x:c r="G20" s="53"/>
      <x:c r="H20" s="53"/>
      <x:c r="I20" s="53"/>
      <x:c r="J20" s="53"/>
      <x:c r="K20" s="53"/>
      <x:c r="L20" s="53"/>
      <x:c r="M20" s="53"/>
      <x:c r="N20" s="54"/>
      <x:c r="O20" s="57" t="str">
        <x:f>IF(COUNTA(E20:L20)&lt;8,"Missing scores",IF(OR(M20="A",M20="B",M20="Tie"),"Complete","Missing preference"))</x:f>
        <x:v>Missing scores</x:v>
      </x:c>
    </x:row>
    <x:row r="21" ht="15" hidden="0" customHeight="1">
      <x:c r="A21" s="56" t="str">
        <x:v>R03</x:v>
      </x:c>
      <x:c r="B21" s="52" t="str">
        <x:v>M01</x:v>
      </x:c>
      <x:c r="C21" s="52" t="str">
        <x:v>images/M01_A.png</x:v>
      </x:c>
      <x:c r="D21" s="52" t="str">
        <x:v>images/M01_B.png</x:v>
      </x:c>
      <x:c r="E21" s="53"/>
      <x:c r="F21" s="53"/>
      <x:c r="G21" s="53"/>
      <x:c r="H21" s="53"/>
      <x:c r="I21" s="53"/>
      <x:c r="J21" s="53"/>
      <x:c r="K21" s="53"/>
      <x:c r="L21" s="53"/>
      <x:c r="M21" s="53"/>
      <x:c r="N21" s="54"/>
      <x:c r="O21" s="57" t="str">
        <x:f>IF(COUNTA(E21:L21)&lt;8,"Missing scores",IF(OR(M21="A",M21="B",M21="Tie"),"Complete","Missing preference"))</x:f>
        <x:v>Missing scores</x:v>
      </x:c>
    </x:row>
    <x:row r="22" ht="15" hidden="0" customHeight="1">
      <x:c r="A22" s="56" t="str">
        <x:v>R03</x:v>
      </x:c>
      <x:c r="B22" s="52" t="str">
        <x:v>M02</x:v>
      </x:c>
      <x:c r="C22" s="52" t="str">
        <x:v>images/M02_A.png</x:v>
      </x:c>
      <x:c r="D22" s="52" t="str">
        <x:v>images/M02_B.png</x:v>
      </x:c>
      <x:c r="E22" s="53"/>
      <x:c r="F22" s="53"/>
      <x:c r="G22" s="53"/>
      <x:c r="H22" s="53"/>
      <x:c r="I22" s="53"/>
      <x:c r="J22" s="53"/>
      <x:c r="K22" s="53"/>
      <x:c r="L22" s="53"/>
      <x:c r="M22" s="53"/>
      <x:c r="N22" s="54"/>
      <x:c r="O22" s="57" t="str">
        <x:f>IF(COUNTA(E22:L22)&lt;8,"Missing scores",IF(OR(M22="A",M22="B",M22="Tie"),"Complete","Missing preference"))</x:f>
        <x:v>Missing scores</x:v>
      </x:c>
    </x:row>
    <x:row r="23" ht="15" hidden="0" customHeight="1">
      <x:c r="A23" s="56" t="str">
        <x:v>R03</x:v>
      </x:c>
      <x:c r="B23" s="52" t="str">
        <x:v>M03</x:v>
      </x:c>
      <x:c r="C23" s="52" t="str">
        <x:v>images/M03_A.png</x:v>
      </x:c>
      <x:c r="D23" s="52" t="str">
        <x:v>images/M03_B.png</x:v>
      </x:c>
      <x:c r="E23" s="53"/>
      <x:c r="F23" s="53"/>
      <x:c r="G23" s="53"/>
      <x:c r="H23" s="53"/>
      <x:c r="I23" s="53"/>
      <x:c r="J23" s="53"/>
      <x:c r="K23" s="53"/>
      <x:c r="L23" s="53"/>
      <x:c r="M23" s="53"/>
      <x:c r="N23" s="54"/>
      <x:c r="O23" s="57" t="str">
        <x:f>IF(COUNTA(E23:L23)&lt;8,"Missing scores",IF(OR(M23="A",M23="B",M23="Tie"),"Complete","Missing preference"))</x:f>
        <x:v>Missing scores</x:v>
      </x:c>
    </x:row>
    <x:row r="24" ht="15" hidden="0" customHeight="1">
      <x:c r="A24" s="56" t="str">
        <x:v>R03</x:v>
      </x:c>
      <x:c r="B24" s="52" t="str">
        <x:v>M04</x:v>
      </x:c>
      <x:c r="C24" s="52" t="str">
        <x:v>images/M04_A.png</x:v>
      </x:c>
      <x:c r="D24" s="52" t="str">
        <x:v>images/M04_B.png</x:v>
      </x:c>
      <x:c r="E24" s="53"/>
      <x:c r="F24" s="53"/>
      <x:c r="G24" s="53"/>
      <x:c r="H24" s="53"/>
      <x:c r="I24" s="53"/>
      <x:c r="J24" s="53"/>
      <x:c r="K24" s="53"/>
      <x:c r="L24" s="53"/>
      <x:c r="M24" s="53"/>
      <x:c r="N24" s="54"/>
      <x:c r="O24" s="57" t="str">
        <x:f>IF(COUNTA(E24:L24)&lt;8,"Missing scores",IF(OR(M24="A",M24="B",M24="Tie"),"Complete","Missing preference"))</x:f>
        <x:v>Missing scores</x:v>
      </x:c>
    </x:row>
    <x:row r="25" ht="15" hidden="0" customHeight="1">
      <x:c r="A25" s="56" t="str">
        <x:v>R03</x:v>
      </x:c>
      <x:c r="B25" s="52" t="str">
        <x:v>M05</x:v>
      </x:c>
      <x:c r="C25" s="52" t="str">
        <x:v>images/M05_A.png</x:v>
      </x:c>
      <x:c r="D25" s="52" t="str">
        <x:v>images/M05_B.png</x:v>
      </x:c>
      <x:c r="E25" s="53"/>
      <x:c r="F25" s="53"/>
      <x:c r="G25" s="53"/>
      <x:c r="H25" s="53"/>
      <x:c r="I25" s="53"/>
      <x:c r="J25" s="53"/>
      <x:c r="K25" s="53"/>
      <x:c r="L25" s="53"/>
      <x:c r="M25" s="53"/>
      <x:c r="N25" s="54"/>
      <x:c r="O25" s="57" t="str">
        <x:f>IF(COUNTA(E25:L25)&lt;8,"Missing scores",IF(OR(M25="A",M25="B",M25="Tie"),"Complete","Missing preference"))</x:f>
        <x:v>Missing scores</x:v>
      </x:c>
    </x:row>
    <x:row r="26" ht="15" hidden="0" customHeight="1">
      <x:c r="A26" s="56" t="str">
        <x:v>R03</x:v>
      </x:c>
      <x:c r="B26" s="52" t="str">
        <x:v>M06</x:v>
      </x:c>
      <x:c r="C26" s="52" t="str">
        <x:v>images/M06_A.png</x:v>
      </x:c>
      <x:c r="D26" s="52" t="str">
        <x:v>images/M06_B.png</x:v>
      </x:c>
      <x:c r="E26" s="53"/>
      <x:c r="F26" s="53"/>
      <x:c r="G26" s="53"/>
      <x:c r="H26" s="53"/>
      <x:c r="I26" s="53"/>
      <x:c r="J26" s="53"/>
      <x:c r="K26" s="53"/>
      <x:c r="L26" s="53"/>
      <x:c r="M26" s="53"/>
      <x:c r="N26" s="54"/>
      <x:c r="O26" s="57" t="str">
        <x:f>IF(COUNTA(E26:L26)&lt;8,"Missing scores",IF(OR(M26="A",M26="B",M26="Tie"),"Complete","Missing preference"))</x:f>
        <x:v>Missing scores</x:v>
      </x:c>
    </x:row>
    <x:row r="27" ht="15" hidden="0" customHeight="1">
      <x:c r="A27" s="56" t="str">
        <x:v>R03</x:v>
      </x:c>
      <x:c r="B27" s="52" t="str">
        <x:v>M07</x:v>
      </x:c>
      <x:c r="C27" s="52" t="str">
        <x:v>images/M07_A.png</x:v>
      </x:c>
      <x:c r="D27" s="52" t="str">
        <x:v>images/M07_B.png</x:v>
      </x:c>
      <x:c r="E27" s="53"/>
      <x:c r="F27" s="53"/>
      <x:c r="G27" s="53"/>
      <x:c r="H27" s="53"/>
      <x:c r="I27" s="53"/>
      <x:c r="J27" s="53"/>
      <x:c r="K27" s="53"/>
      <x:c r="L27" s="53"/>
      <x:c r="M27" s="53"/>
      <x:c r="N27" s="54"/>
      <x:c r="O27" s="57" t="str">
        <x:f>IF(COUNTA(E27:L27)&lt;8,"Missing scores",IF(OR(M27="A",M27="B",M27="Tie"),"Complete","Missing preference"))</x:f>
        <x:v>Missing scores</x:v>
      </x:c>
    </x:row>
    <x:row r="28" ht="15" hidden="0" customHeight="1">
      <x:c r="A28" s="58" t="str">
        <x:v>R03</x:v>
      </x:c>
      <x:c r="B28" s="59" t="str">
        <x:v>M08</x:v>
      </x:c>
      <x:c r="C28" s="59" t="str">
        <x:v>images/M08_A.png</x:v>
      </x:c>
      <x:c r="D28" s="59" t="str">
        <x:v>images/M08_B.png</x:v>
      </x:c>
      <x:c r="E28" s="60"/>
      <x:c r="F28" s="60"/>
      <x:c r="G28" s="60"/>
      <x:c r="H28" s="60"/>
      <x:c r="I28" s="60"/>
      <x:c r="J28" s="60"/>
      <x:c r="K28" s="60"/>
      <x:c r="L28" s="60"/>
      <x:c r="M28" s="60"/>
      <x:c r="N28" s="61"/>
      <x:c r="O28" s="62" t="str">
        <x:f>IF(COUNTA(E28:L28)&lt;8,"Missing scores",IF(OR(M28="A",M28="B",M28="Tie"),"Complete","Missing preference"))</x:f>
        <x:v>Missing scores</x:v>
      </x:c>
    </x:row>
  </x:sheetData>
  <x:dataValidations count="2">
    <x:dataValidation type="whole" operator="between" sqref="E5:L28">
      <x:formula1>1</x:formula1>
      <x:formula2>5</x:formula2>
    </x:dataValidation>
    <x:dataValidation type="list" sqref="M5:M28">
      <x:formula1>"A,B,Tie"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34" hidden="0" customWidth="1"/>
    <x:col min="5" max="5" width="17" hidden="0" customWidth="1"/>
    <x:col min="6" max="6" width="17" hidden="0" customWidth="1"/>
    <x:col min="7" max="7" width="22" hidden="0" customWidth="1"/>
    <x:col min="8" max="8" width="22" hidden="0" customWidth="1"/>
    <x:col min="9" max="9" width="19" hidden="0" customWidth="1"/>
    <x:col min="10" max="10" width="30" hidden="0" customWidth="1"/>
    <x:col min="11" max="11" width="17" hidden="0" customWidth="1"/>
  </x:cols>
  <x:sheetData>
    <x:row r="1" ht="19.200000762939453" hidden="0" customHeight="1">
      <x:c r="A1" s="2" t="str">
        <x:v>Biography audit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3" t="str">
        <x:v>Verify factual claims against each saved Wikipedia source record.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/>
    <x:row r="4" ht="15" hidden="0" customHeight="1">
      <x:c r="A4" s="35" t="str">
        <x:v>Rater ID</x:v>
      </x:c>
      <x:c r="B4" s="36" t="str">
        <x:v>Subject ID</x:v>
      </x:c>
      <x:c r="C4" s="36" t="str">
        <x:v>Name</x:v>
      </x:c>
      <x:c r="D4" s="36" t="str">
        <x:v>Summary file</x:v>
      </x:c>
      <x:c r="E4" s="36" t="str">
        <x:v>Claim count</x:v>
      </x:c>
      <x:c r="F4" s="36" t="str">
        <x:v>Supported claims</x:v>
      </x:c>
      <x:c r="G4" s="36" t="str">
        <x:v>Readability 1-5</x:v>
      </x:c>
      <x:c r="H4" s="36" t="str">
        <x:v>Age appropriateness 1-5</x:v>
      </x:c>
      <x:c r="I4" s="36" t="str">
        <x:v>Evidence IDs valid</x:v>
      </x:c>
      <x:c r="J4" s="36" t="str">
        <x:v>Notes</x:v>
      </x:c>
      <x:c r="K4" s="37" t="str">
        <x:v>Status</x:v>
      </x:c>
    </x:row>
    <x:row r="5" ht="15" hidden="0" customHeight="1">
      <x:c r="A5" s="56" t="str">
        <x:v>R01</x:v>
      </x:c>
      <x:c r="B5" s="52" t="str">
        <x:v>M01</x:v>
      </x:c>
      <x:c r="C5" s="52" t="str">
        <x:v>Philip I, Landgrave of Hesse</x:v>
      </x:c>
      <x:c r="D5" s="52" t="str">
        <x:v>summaries/Philip_I_Landgrave_of_Hesse.json</x:v>
      </x:c>
      <x:c r="E5" s="53"/>
      <x:c r="F5" s="53"/>
      <x:c r="G5" s="53"/>
      <x:c r="H5" s="53"/>
      <x:c r="I5" s="53"/>
      <x:c r="J5" s="54"/>
      <x:c r="K5" s="57" t="str">
        <x:f>IF(OR(E5="",F5="",G5="",H5="",I5=""),"Missing",IF(F5&gt;E5,"Check counts",IF(OR(I5="Yes",I5="No"),"Complete","Check evidence")))</x:f>
        <x:v>Missing</x:v>
      </x:c>
    </x:row>
    <x:row r="6" ht="15" hidden="0" customHeight="1">
      <x:c r="A6" s="56" t="str">
        <x:v>R01</x:v>
      </x:c>
      <x:c r="B6" s="52" t="str">
        <x:v>M02</x:v>
      </x:c>
      <x:c r="C6" s="52" t="str">
        <x:v>Robert Bunsen</x:v>
      </x:c>
      <x:c r="D6" s="52" t="str">
        <x:v>summaries/Robert_Bunsen.json</x:v>
      </x:c>
      <x:c r="E6" s="53"/>
      <x:c r="F6" s="53"/>
      <x:c r="G6" s="53"/>
      <x:c r="H6" s="53"/>
      <x:c r="I6" s="53"/>
      <x:c r="J6" s="54"/>
      <x:c r="K6" s="57" t="str">
        <x:f>IF(OR(E6="",F6="",G6="",H6="",I6=""),"Missing",IF(F6&gt;E6,"Check counts",IF(OR(I6="Yes",I6="No"),"Complete","Check evidence")))</x:f>
        <x:v>Missing</x:v>
      </x:c>
    </x:row>
    <x:row r="7" ht="15" hidden="0" customHeight="1">
      <x:c r="A7" s="56" t="str">
        <x:v>R01</x:v>
      </x:c>
      <x:c r="B7" s="52" t="str">
        <x:v>M03</x:v>
      </x:c>
      <x:c r="C7" s="52" t="str">
        <x:v>Emil von Behring</x:v>
      </x:c>
      <x:c r="D7" s="52" t="str">
        <x:v>summaries/Emil_von_Behring.json</x:v>
      </x:c>
      <x:c r="E7" s="53"/>
      <x:c r="F7" s="53"/>
      <x:c r="G7" s="53"/>
      <x:c r="H7" s="53"/>
      <x:c r="I7" s="53"/>
      <x:c r="J7" s="54"/>
      <x:c r="K7" s="57" t="str">
        <x:f>IF(OR(E7="",F7="",G7="",H7="",I7=""),"Missing",IF(F7&gt;E7,"Check counts",IF(OR(I7="Yes",I7="No"),"Complete","Check evidence")))</x:f>
        <x:v>Missing</x:v>
      </x:c>
    </x:row>
    <x:row r="8" ht="15" hidden="0" customHeight="1">
      <x:c r="A8" s="56" t="str">
        <x:v>R01</x:v>
      </x:c>
      <x:c r="B8" s="52" t="str">
        <x:v>M04</x:v>
      </x:c>
      <x:c r="C8" s="52" t="str">
        <x:v>Jacob Grimm</x:v>
      </x:c>
      <x:c r="D8" s="52" t="str">
        <x:v>summaries/Jacob_Grimm.json</x:v>
      </x:c>
      <x:c r="E8" s="53"/>
      <x:c r="F8" s="53"/>
      <x:c r="G8" s="53"/>
      <x:c r="H8" s="53"/>
      <x:c r="I8" s="53"/>
      <x:c r="J8" s="54"/>
      <x:c r="K8" s="57" t="str">
        <x:f>IF(OR(E8="",F8="",G8="",H8="",I8=""),"Missing",IF(F8&gt;E8,"Check counts",IF(OR(I8="Yes",I8="No"),"Complete","Check evidence")))</x:f>
        <x:v>Missing</x:v>
      </x:c>
    </x:row>
    <x:row r="9" ht="15" hidden="0" customHeight="1">
      <x:c r="A9" s="56" t="str">
        <x:v>R01</x:v>
      </x:c>
      <x:c r="B9" s="52" t="str">
        <x:v>M05</x:v>
      </x:c>
      <x:c r="C9" s="52" t="str">
        <x:v>Hannah Arendt</x:v>
      </x:c>
      <x:c r="D9" s="52" t="str">
        <x:v>summaries/Hannah_Arendt.json</x:v>
      </x:c>
      <x:c r="E9" s="53"/>
      <x:c r="F9" s="53"/>
      <x:c r="G9" s="53"/>
      <x:c r="H9" s="53"/>
      <x:c r="I9" s="53"/>
      <x:c r="J9" s="54"/>
      <x:c r="K9" s="57" t="str">
        <x:f>IF(OR(E9="",F9="",G9="",H9="",I9=""),"Missing",IF(F9&gt;E9,"Check counts",IF(OR(I9="Yes",I9="No"),"Complete","Check evidence")))</x:f>
        <x:v>Missing</x:v>
      </x:c>
    </x:row>
    <x:row r="10" ht="15" hidden="0" customHeight="1">
      <x:c r="A10" s="56" t="str">
        <x:v>R01</x:v>
      </x:c>
      <x:c r="B10" s="52" t="str">
        <x:v>M06</x:v>
      </x:c>
      <x:c r="C10" s="52" t="str">
        <x:v>Gertrud von Le Fort</x:v>
      </x:c>
      <x:c r="D10" s="52" t="str">
        <x:v>summaries/Gertrud_von_Le_Fort.json</x:v>
      </x:c>
      <x:c r="E10" s="53"/>
      <x:c r="F10" s="53"/>
      <x:c r="G10" s="53"/>
      <x:c r="H10" s="53"/>
      <x:c r="I10" s="53"/>
      <x:c r="J10" s="54"/>
      <x:c r="K10" s="57" t="str">
        <x:f>IF(OR(E10="",F10="",G10="",H10="",I10=""),"Missing",IF(F10&gt;E10,"Check counts",IF(OR(I10="Yes",I10="No"),"Complete","Check evidence")))</x:f>
        <x:v>Missing</x:v>
      </x:c>
    </x:row>
    <x:row r="11" ht="15" hidden="0" customHeight="1">
      <x:c r="A11" s="56" t="str">
        <x:v>R01</x:v>
      </x:c>
      <x:c r="B11" s="52" t="str">
        <x:v>M07</x:v>
      </x:c>
      <x:c r="C11" s="52" t="str">
        <x:v>Alfred Wegener</x:v>
      </x:c>
      <x:c r="D11" s="52" t="str">
        <x:v>summaries/Alfred_Wegener.json</x:v>
      </x:c>
      <x:c r="E11" s="53"/>
      <x:c r="F11" s="53"/>
      <x:c r="G11" s="53"/>
      <x:c r="H11" s="53"/>
      <x:c r="I11" s="53"/>
      <x:c r="J11" s="54"/>
      <x:c r="K11" s="57" t="str">
        <x:f>IF(OR(E11="",F11="",G11="",H11="",I11=""),"Missing",IF(F11&gt;E11,"Check counts",IF(OR(I11="Yes",I11="No"),"Complete","Check evidence")))</x:f>
        <x:v>Missing</x:v>
      </x:c>
    </x:row>
    <x:row r="12" ht="15" hidden="0" customHeight="1">
      <x:c r="A12" s="56" t="str">
        <x:v>R01</x:v>
      </x:c>
      <x:c r="B12" s="52" t="str">
        <x:v>M08</x:v>
      </x:c>
      <x:c r="C12" s="52" t="str">
        <x:v>Boris Pasternak</x:v>
      </x:c>
      <x:c r="D12" s="52" t="str">
        <x:v>summaries/Boris_Pasternak.json</x:v>
      </x:c>
      <x:c r="E12" s="53"/>
      <x:c r="F12" s="53"/>
      <x:c r="G12" s="53"/>
      <x:c r="H12" s="53"/>
      <x:c r="I12" s="53"/>
      <x:c r="J12" s="54"/>
      <x:c r="K12" s="57" t="str">
        <x:f>IF(OR(E12="",F12="",G12="",H12="",I12=""),"Missing",IF(F12&gt;E12,"Check counts",IF(OR(I12="Yes",I12="No"),"Complete","Check evidence")))</x:f>
        <x:v>Missing</x:v>
      </x:c>
    </x:row>
    <x:row r="13" ht="15" hidden="0" customHeight="1">
      <x:c r="A13" s="56" t="str">
        <x:v>R02</x:v>
      </x:c>
      <x:c r="B13" s="52" t="str">
        <x:v>M01</x:v>
      </x:c>
      <x:c r="C13" s="52" t="str">
        <x:v>Philip I, Landgrave of Hesse</x:v>
      </x:c>
      <x:c r="D13" s="52" t="str">
        <x:v>summaries/Philip_I_Landgrave_of_Hesse.json</x:v>
      </x:c>
      <x:c r="E13" s="53"/>
      <x:c r="F13" s="53"/>
      <x:c r="G13" s="53"/>
      <x:c r="H13" s="53"/>
      <x:c r="I13" s="53"/>
      <x:c r="J13" s="54"/>
      <x:c r="K13" s="57" t="str">
        <x:f>IF(OR(E13="",F13="",G13="",H13="",I13=""),"Missing",IF(F13&gt;E13,"Check counts",IF(OR(I13="Yes",I13="No"),"Complete","Check evidence")))</x:f>
        <x:v>Missing</x:v>
      </x:c>
    </x:row>
    <x:row r="14" ht="15" hidden="0" customHeight="1">
      <x:c r="A14" s="56" t="str">
        <x:v>R02</x:v>
      </x:c>
      <x:c r="B14" s="52" t="str">
        <x:v>M02</x:v>
      </x:c>
      <x:c r="C14" s="52" t="str">
        <x:v>Robert Bunsen</x:v>
      </x:c>
      <x:c r="D14" s="52" t="str">
        <x:v>summaries/Robert_Bunsen.json</x:v>
      </x:c>
      <x:c r="E14" s="53"/>
      <x:c r="F14" s="53"/>
      <x:c r="G14" s="53"/>
      <x:c r="H14" s="53"/>
      <x:c r="I14" s="53"/>
      <x:c r="J14" s="54"/>
      <x:c r="K14" s="57" t="str">
        <x:f>IF(OR(E14="",F14="",G14="",H14="",I14=""),"Missing",IF(F14&gt;E14,"Check counts",IF(OR(I14="Yes",I14="No"),"Complete","Check evidence")))</x:f>
        <x:v>Missing</x:v>
      </x:c>
    </x:row>
    <x:row r="15" ht="15" hidden="0" customHeight="1">
      <x:c r="A15" s="56" t="str">
        <x:v>R02</x:v>
      </x:c>
      <x:c r="B15" s="52" t="str">
        <x:v>M03</x:v>
      </x:c>
      <x:c r="C15" s="52" t="str">
        <x:v>Emil von Behring</x:v>
      </x:c>
      <x:c r="D15" s="52" t="str">
        <x:v>summaries/Emil_von_Behring.json</x:v>
      </x:c>
      <x:c r="E15" s="53"/>
      <x:c r="F15" s="53"/>
      <x:c r="G15" s="53"/>
      <x:c r="H15" s="53"/>
      <x:c r="I15" s="53"/>
      <x:c r="J15" s="54"/>
      <x:c r="K15" s="57" t="str">
        <x:f>IF(OR(E15="",F15="",G15="",H15="",I15=""),"Missing",IF(F15&gt;E15,"Check counts",IF(OR(I15="Yes",I15="No"),"Complete","Check evidence")))</x:f>
        <x:v>Missing</x:v>
      </x:c>
    </x:row>
    <x:row r="16" ht="15" hidden="0" customHeight="1">
      <x:c r="A16" s="56" t="str">
        <x:v>R02</x:v>
      </x:c>
      <x:c r="B16" s="52" t="str">
        <x:v>M04</x:v>
      </x:c>
      <x:c r="C16" s="52" t="str">
        <x:v>Jacob Grimm</x:v>
      </x:c>
      <x:c r="D16" s="52" t="str">
        <x:v>summaries/Jacob_Grimm.json</x:v>
      </x:c>
      <x:c r="E16" s="53"/>
      <x:c r="F16" s="53"/>
      <x:c r="G16" s="53"/>
      <x:c r="H16" s="53"/>
      <x:c r="I16" s="53"/>
      <x:c r="J16" s="54"/>
      <x:c r="K16" s="57" t="str">
        <x:f>IF(OR(E16="",F16="",G16="",H16="",I16=""),"Missing",IF(F16&gt;E16,"Check counts",IF(OR(I16="Yes",I16="No"),"Complete","Check evidence")))</x:f>
        <x:v>Missing</x:v>
      </x:c>
    </x:row>
    <x:row r="17" ht="15" hidden="0" customHeight="1">
      <x:c r="A17" s="56" t="str">
        <x:v>R02</x:v>
      </x:c>
      <x:c r="B17" s="52" t="str">
        <x:v>M05</x:v>
      </x:c>
      <x:c r="C17" s="52" t="str">
        <x:v>Hannah Arendt</x:v>
      </x:c>
      <x:c r="D17" s="52" t="str">
        <x:v>summaries/Hannah_Arendt.json</x:v>
      </x:c>
      <x:c r="E17" s="53"/>
      <x:c r="F17" s="53"/>
      <x:c r="G17" s="53"/>
      <x:c r="H17" s="53"/>
      <x:c r="I17" s="53"/>
      <x:c r="J17" s="54"/>
      <x:c r="K17" s="57" t="str">
        <x:f>IF(OR(E17="",F17="",G17="",H17="",I17=""),"Missing",IF(F17&gt;E17,"Check counts",IF(OR(I17="Yes",I17="No"),"Complete","Check evidence")))</x:f>
        <x:v>Missing</x:v>
      </x:c>
    </x:row>
    <x:row r="18" ht="15" hidden="0" customHeight="1">
      <x:c r="A18" s="56" t="str">
        <x:v>R02</x:v>
      </x:c>
      <x:c r="B18" s="52" t="str">
        <x:v>M06</x:v>
      </x:c>
      <x:c r="C18" s="52" t="str">
        <x:v>Gertrud von Le Fort</x:v>
      </x:c>
      <x:c r="D18" s="52" t="str">
        <x:v>summaries/Gertrud_von_Le_Fort.json</x:v>
      </x:c>
      <x:c r="E18" s="53"/>
      <x:c r="F18" s="53"/>
      <x:c r="G18" s="53"/>
      <x:c r="H18" s="53"/>
      <x:c r="I18" s="53"/>
      <x:c r="J18" s="54"/>
      <x:c r="K18" s="57" t="str">
        <x:f>IF(OR(E18="",F18="",G18="",H18="",I18=""),"Missing",IF(F18&gt;E18,"Check counts",IF(OR(I18="Yes",I18="No"),"Complete","Check evidence")))</x:f>
        <x:v>Missing</x:v>
      </x:c>
    </x:row>
    <x:row r="19" ht="15" hidden="0" customHeight="1">
      <x:c r="A19" s="56" t="str">
        <x:v>R02</x:v>
      </x:c>
      <x:c r="B19" s="52" t="str">
        <x:v>M07</x:v>
      </x:c>
      <x:c r="C19" s="52" t="str">
        <x:v>Alfred Wegener</x:v>
      </x:c>
      <x:c r="D19" s="52" t="str">
        <x:v>summaries/Alfred_Wegener.json</x:v>
      </x:c>
      <x:c r="E19" s="53"/>
      <x:c r="F19" s="53"/>
      <x:c r="G19" s="53"/>
      <x:c r="H19" s="53"/>
      <x:c r="I19" s="53"/>
      <x:c r="J19" s="54"/>
      <x:c r="K19" s="57" t="str">
        <x:f>IF(OR(E19="",F19="",G19="",H19="",I19=""),"Missing",IF(F19&gt;E19,"Check counts",IF(OR(I19="Yes",I19="No"),"Complete","Check evidence")))</x:f>
        <x:v>Missing</x:v>
      </x:c>
    </x:row>
    <x:row r="20" ht="15" hidden="0" customHeight="1">
      <x:c r="A20" s="56" t="str">
        <x:v>R02</x:v>
      </x:c>
      <x:c r="B20" s="52" t="str">
        <x:v>M08</x:v>
      </x:c>
      <x:c r="C20" s="52" t="str">
        <x:v>Boris Pasternak</x:v>
      </x:c>
      <x:c r="D20" s="52" t="str">
        <x:v>summaries/Boris_Pasternak.json</x:v>
      </x:c>
      <x:c r="E20" s="53"/>
      <x:c r="F20" s="53"/>
      <x:c r="G20" s="53"/>
      <x:c r="H20" s="53"/>
      <x:c r="I20" s="53"/>
      <x:c r="J20" s="54"/>
      <x:c r="K20" s="57" t="str">
        <x:f>IF(OR(E20="",F20="",G20="",H20="",I20=""),"Missing",IF(F20&gt;E20,"Check counts",IF(OR(I20="Yes",I20="No"),"Complete","Check evidence")))</x:f>
        <x:v>Missing</x:v>
      </x:c>
    </x:row>
    <x:row r="21" ht="15" hidden="0" customHeight="1">
      <x:c r="A21" s="56" t="str">
        <x:v>R03</x:v>
      </x:c>
      <x:c r="B21" s="52" t="str">
        <x:v>M01</x:v>
      </x:c>
      <x:c r="C21" s="52" t="str">
        <x:v>Philip I, Landgrave of Hesse</x:v>
      </x:c>
      <x:c r="D21" s="52" t="str">
        <x:v>summaries/Philip_I_Landgrave_of_Hesse.json</x:v>
      </x:c>
      <x:c r="E21" s="53"/>
      <x:c r="F21" s="53"/>
      <x:c r="G21" s="53"/>
      <x:c r="H21" s="53"/>
      <x:c r="I21" s="53"/>
      <x:c r="J21" s="54"/>
      <x:c r="K21" s="57" t="str">
        <x:f>IF(OR(E21="",F21="",G21="",H21="",I21=""),"Missing",IF(F21&gt;E21,"Check counts",IF(OR(I21="Yes",I21="No"),"Complete","Check evidence")))</x:f>
        <x:v>Missing</x:v>
      </x:c>
    </x:row>
    <x:row r="22" ht="15" hidden="0" customHeight="1">
      <x:c r="A22" s="56" t="str">
        <x:v>R03</x:v>
      </x:c>
      <x:c r="B22" s="52" t="str">
        <x:v>M02</x:v>
      </x:c>
      <x:c r="C22" s="52" t="str">
        <x:v>Robert Bunsen</x:v>
      </x:c>
      <x:c r="D22" s="52" t="str">
        <x:v>summaries/Robert_Bunsen.json</x:v>
      </x:c>
      <x:c r="E22" s="53"/>
      <x:c r="F22" s="53"/>
      <x:c r="G22" s="53"/>
      <x:c r="H22" s="53"/>
      <x:c r="I22" s="53"/>
      <x:c r="J22" s="54"/>
      <x:c r="K22" s="57" t="str">
        <x:f>IF(OR(E22="",F22="",G22="",H22="",I22=""),"Missing",IF(F22&gt;E22,"Check counts",IF(OR(I22="Yes",I22="No"),"Complete","Check evidence")))</x:f>
        <x:v>Missing</x:v>
      </x:c>
    </x:row>
    <x:row r="23" ht="15" hidden="0" customHeight="1">
      <x:c r="A23" s="56" t="str">
        <x:v>R03</x:v>
      </x:c>
      <x:c r="B23" s="52" t="str">
        <x:v>M03</x:v>
      </x:c>
      <x:c r="C23" s="52" t="str">
        <x:v>Emil von Behring</x:v>
      </x:c>
      <x:c r="D23" s="52" t="str">
        <x:v>summaries/Emil_von_Behring.json</x:v>
      </x:c>
      <x:c r="E23" s="53"/>
      <x:c r="F23" s="53"/>
      <x:c r="G23" s="53"/>
      <x:c r="H23" s="53"/>
      <x:c r="I23" s="53"/>
      <x:c r="J23" s="54"/>
      <x:c r="K23" s="57" t="str">
        <x:f>IF(OR(E23="",F23="",G23="",H23="",I23=""),"Missing",IF(F23&gt;E23,"Check counts",IF(OR(I23="Yes",I23="No"),"Complete","Check evidence")))</x:f>
        <x:v>Missing</x:v>
      </x:c>
    </x:row>
    <x:row r="24" ht="15" hidden="0" customHeight="1">
      <x:c r="A24" s="56" t="str">
        <x:v>R03</x:v>
      </x:c>
      <x:c r="B24" s="52" t="str">
        <x:v>M04</x:v>
      </x:c>
      <x:c r="C24" s="52" t="str">
        <x:v>Jacob Grimm</x:v>
      </x:c>
      <x:c r="D24" s="52" t="str">
        <x:v>summaries/Jacob_Grimm.json</x:v>
      </x:c>
      <x:c r="E24" s="53"/>
      <x:c r="F24" s="53"/>
      <x:c r="G24" s="53"/>
      <x:c r="H24" s="53"/>
      <x:c r="I24" s="53"/>
      <x:c r="J24" s="54"/>
      <x:c r="K24" s="57" t="str">
        <x:f>IF(OR(E24="",F24="",G24="",H24="",I24=""),"Missing",IF(F24&gt;E24,"Check counts",IF(OR(I24="Yes",I24="No"),"Complete","Check evidence")))</x:f>
        <x:v>Missing</x:v>
      </x:c>
    </x:row>
    <x:row r="25" ht="15" hidden="0" customHeight="1">
      <x:c r="A25" s="56" t="str">
        <x:v>R03</x:v>
      </x:c>
      <x:c r="B25" s="52" t="str">
        <x:v>M05</x:v>
      </x:c>
      <x:c r="C25" s="52" t="str">
        <x:v>Hannah Arendt</x:v>
      </x:c>
      <x:c r="D25" s="52" t="str">
        <x:v>summaries/Hannah_Arendt.json</x:v>
      </x:c>
      <x:c r="E25" s="53"/>
      <x:c r="F25" s="53"/>
      <x:c r="G25" s="53"/>
      <x:c r="H25" s="53"/>
      <x:c r="I25" s="53"/>
      <x:c r="J25" s="54"/>
      <x:c r="K25" s="57" t="str">
        <x:f>IF(OR(E25="",F25="",G25="",H25="",I25=""),"Missing",IF(F25&gt;E25,"Check counts",IF(OR(I25="Yes",I25="No"),"Complete","Check evidence")))</x:f>
        <x:v>Missing</x:v>
      </x:c>
    </x:row>
    <x:row r="26" ht="15" hidden="0" customHeight="1">
      <x:c r="A26" s="56" t="str">
        <x:v>R03</x:v>
      </x:c>
      <x:c r="B26" s="52" t="str">
        <x:v>M06</x:v>
      </x:c>
      <x:c r="C26" s="52" t="str">
        <x:v>Gertrud von Le Fort</x:v>
      </x:c>
      <x:c r="D26" s="52" t="str">
        <x:v>summaries/Gertrud_von_Le_Fort.json</x:v>
      </x:c>
      <x:c r="E26" s="53"/>
      <x:c r="F26" s="53"/>
      <x:c r="G26" s="53"/>
      <x:c r="H26" s="53"/>
      <x:c r="I26" s="53"/>
      <x:c r="J26" s="54"/>
      <x:c r="K26" s="57" t="str">
        <x:f>IF(OR(E26="",F26="",G26="",H26="",I26=""),"Missing",IF(F26&gt;E26,"Check counts",IF(OR(I26="Yes",I26="No"),"Complete","Check evidence")))</x:f>
        <x:v>Missing</x:v>
      </x:c>
    </x:row>
    <x:row r="27" ht="15" hidden="0" customHeight="1">
      <x:c r="A27" s="56" t="str">
        <x:v>R03</x:v>
      </x:c>
      <x:c r="B27" s="52" t="str">
        <x:v>M07</x:v>
      </x:c>
      <x:c r="C27" s="52" t="str">
        <x:v>Alfred Wegener</x:v>
      </x:c>
      <x:c r="D27" s="52" t="str">
        <x:v>summaries/Alfred_Wegener.json</x:v>
      </x:c>
      <x:c r="E27" s="53"/>
      <x:c r="F27" s="53"/>
      <x:c r="G27" s="53"/>
      <x:c r="H27" s="53"/>
      <x:c r="I27" s="53"/>
      <x:c r="J27" s="54"/>
      <x:c r="K27" s="57" t="str">
        <x:f>IF(OR(E27="",F27="",G27="",H27="",I27=""),"Missing",IF(F27&gt;E27,"Check counts",IF(OR(I27="Yes",I27="No"),"Complete","Check evidence")))</x:f>
        <x:v>Missing</x:v>
      </x:c>
    </x:row>
    <x:row r="28" ht="15" hidden="0" customHeight="1">
      <x:c r="A28" s="58" t="str">
        <x:v>R03</x:v>
      </x:c>
      <x:c r="B28" s="59" t="str">
        <x:v>M08</x:v>
      </x:c>
      <x:c r="C28" s="59" t="str">
        <x:v>Boris Pasternak</x:v>
      </x:c>
      <x:c r="D28" s="59" t="str">
        <x:v>summaries/Boris_Pasternak.json</x:v>
      </x:c>
      <x:c r="E28" s="60"/>
      <x:c r="F28" s="60"/>
      <x:c r="G28" s="60"/>
      <x:c r="H28" s="60"/>
      <x:c r="I28" s="60"/>
      <x:c r="J28" s="61"/>
      <x:c r="K28" s="62" t="str">
        <x:f>IF(OR(E28="",F28="",G28="",H28="",I28=""),"Missing",IF(F28&gt;E28,"Check counts",IF(OR(I28="Yes",I28="No"),"Complete","Check evidence")))</x:f>
        <x:v>Missing</x:v>
      </x:c>
    </x:row>
  </x:sheetData>
  <x:dataValidations count="3">
    <x:dataValidation type="whole" operator="between" sqref="E5:F28">
      <x:formula1>0</x:formula1>
      <x:formula2>100</x:formula2>
    </x:dataValidation>
    <x:dataValidation type="whole" operator="between" sqref="G5:H28">
      <x:formula1>1</x:formula1>
      <x:formula2>5</x:formula2>
    </x:dataValidation>
    <x:dataValidation type="list" sqref="I5:I28">
      <x:formula1>"Yes,No"</x:formula1>
    </x:dataValidation>
  </x:dataValidations>
  <x:pageMargins left="0.7" right="0.7" top="0.75" bottom="0.75" header="0.3" footer="0.3"/>
</x:worksheet>
</file>